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yk12mi.sharepoint.com/sites/SuperintendentsCabinet/Shared Documents/General/Budget/2026 Reductions/"/>
    </mc:Choice>
  </mc:AlternateContent>
  <xr:revisionPtr revIDLastSave="126" documentId="13_ncr:1_{1723C303-7446-E547-AB0A-11357AE9089D}" xr6:coauthVersionLast="47" xr6:coauthVersionMax="47" xr10:uidLastSave="{5C592274-E735-AE40-B0FD-6DB76C7AA224}"/>
  <bookViews>
    <workbookView xWindow="0" yWindow="660" windowWidth="30240" windowHeight="17440" xr2:uid="{95F3695F-ED50-4168-A273-F6C8B428808C}"/>
  </bookViews>
  <sheets>
    <sheet name="FY26" sheetId="3" r:id="rId1"/>
  </sheets>
  <definedNames>
    <definedName name="_xlnm.Print_Area" localSheetId="0">'FY26'!$A$1:$K$34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9" i="3" l="1"/>
  <c r="K9" i="3"/>
  <c r="I9" i="3"/>
  <c r="M2" i="3"/>
  <c r="K2" i="3"/>
  <c r="I2" i="3"/>
  <c r="I55" i="3"/>
  <c r="I5" i="3"/>
  <c r="I59" i="3"/>
  <c r="K55" i="3"/>
  <c r="M55" i="3"/>
  <c r="M39" i="3"/>
  <c r="E11" i="3" l="1"/>
  <c r="I17" i="3"/>
  <c r="K17" i="3" s="1"/>
  <c r="M17" i="3" s="1"/>
  <c r="I16" i="3"/>
  <c r="K16" i="3" s="1"/>
  <c r="M16" i="3" s="1"/>
  <c r="M59" i="3"/>
  <c r="K59" i="3"/>
  <c r="G16" i="3"/>
  <c r="E16" i="3"/>
  <c r="G10" i="3"/>
  <c r="K51" i="3"/>
  <c r="I51" i="3"/>
  <c r="G51" i="3"/>
  <c r="E44" i="3"/>
  <c r="I48" i="3"/>
  <c r="M25" i="3"/>
  <c r="G18" i="3"/>
  <c r="G9" i="3" s="1"/>
  <c r="C18" i="3"/>
  <c r="I18" i="3" l="1"/>
  <c r="M18" i="3"/>
  <c r="K48" i="3"/>
  <c r="M48" i="3" s="1"/>
  <c r="K18" i="3" l="1"/>
  <c r="G44" i="3" l="1"/>
  <c r="G46" i="3" s="1"/>
  <c r="I40" i="3"/>
  <c r="I41" i="3"/>
  <c r="I42" i="3"/>
  <c r="I43" i="3"/>
  <c r="I39" i="3"/>
  <c r="K40" i="3" l="1"/>
  <c r="M40" i="3" s="1"/>
  <c r="I44" i="3"/>
  <c r="I46" i="3" s="1"/>
  <c r="K39" i="3"/>
  <c r="K43" i="3"/>
  <c r="M43" i="3" s="1"/>
  <c r="K42" i="3"/>
  <c r="M42" i="3" s="1"/>
  <c r="K41" i="3"/>
  <c r="M41" i="3" s="1"/>
  <c r="G47" i="3"/>
  <c r="G49" i="3" s="1"/>
  <c r="K44" i="3"/>
  <c r="K46" i="3" s="1"/>
  <c r="I47" i="3"/>
  <c r="M44" i="3" l="1"/>
  <c r="K47" i="3"/>
  <c r="K49" i="3"/>
  <c r="I49" i="3"/>
  <c r="M47" i="3" l="1"/>
  <c r="M46" i="3"/>
  <c r="M49" i="3" s="1"/>
  <c r="M51" i="3" s="1"/>
  <c r="I6" i="3"/>
  <c r="K6" i="3" s="1"/>
  <c r="M6" i="3" s="1"/>
  <c r="G7" i="3"/>
  <c r="E7" i="3"/>
  <c r="K5" i="3"/>
  <c r="E18" i="3"/>
  <c r="M5" i="3" l="1"/>
  <c r="I10" i="3"/>
  <c r="E10" i="3"/>
  <c r="C10" i="3"/>
  <c r="K25" i="3"/>
  <c r="I25" i="3"/>
  <c r="G25" i="3"/>
  <c r="E25" i="3"/>
  <c r="C25" i="3"/>
  <c r="C9" i="3" s="1"/>
  <c r="K10" i="3" l="1"/>
  <c r="M10" i="3" s="1"/>
  <c r="E9" i="3"/>
  <c r="E27" i="3" s="1"/>
  <c r="C11" i="3"/>
  <c r="G11" i="3" l="1"/>
  <c r="G27" i="3" s="1"/>
  <c r="C27" i="3"/>
  <c r="C31" i="3" s="1"/>
  <c r="I11" i="3"/>
  <c r="I27" i="3" s="1"/>
  <c r="C32" i="3" l="1"/>
  <c r="G29" i="3"/>
  <c r="G31" i="3" s="1"/>
  <c r="I29" i="3" s="1"/>
  <c r="I31" i="3" s="1"/>
  <c r="I32" i="3" s="1"/>
  <c r="M11" i="3"/>
  <c r="M27" i="3" s="1"/>
  <c r="E29" i="3"/>
  <c r="E31" i="3" s="1"/>
  <c r="E32" i="3" s="1"/>
  <c r="K11" i="3"/>
  <c r="K27" i="3" s="1"/>
  <c r="G32" i="3" l="1"/>
  <c r="K29" i="3" l="1"/>
  <c r="K31" i="3" s="1"/>
  <c r="K32" i="3" l="1"/>
  <c r="M29" i="3"/>
  <c r="M31" i="3" s="1"/>
  <c r="M32" i="3" s="1"/>
</calcChain>
</file>

<file path=xl/sharedStrings.xml><?xml version="1.0" encoding="utf-8"?>
<sst xmlns="http://schemas.openxmlformats.org/spreadsheetml/2006/main" count="51" uniqueCount="48">
  <si>
    <t xml:space="preserve">Admin </t>
  </si>
  <si>
    <t xml:space="preserve">Revenues - operating </t>
  </si>
  <si>
    <t>Expenditures - operating</t>
  </si>
  <si>
    <t>Operating surplus (deficit)</t>
  </si>
  <si>
    <t xml:space="preserve">Revenue - non-recurring </t>
  </si>
  <si>
    <t xml:space="preserve">Other Financing Sources </t>
  </si>
  <si>
    <t xml:space="preserve">     Sale of Land </t>
  </si>
  <si>
    <t xml:space="preserve">     Transfers In </t>
  </si>
  <si>
    <t>Net Change in Fund Balance</t>
  </si>
  <si>
    <t xml:space="preserve">Fund Balance  - Beginning </t>
  </si>
  <si>
    <t xml:space="preserve">Fund Balance - Ending </t>
  </si>
  <si>
    <t>Expenditures - non-recurring</t>
  </si>
  <si>
    <t>TEA</t>
  </si>
  <si>
    <t xml:space="preserve">Non-Rep </t>
  </si>
  <si>
    <t xml:space="preserve">Foundation Allowance </t>
  </si>
  <si>
    <t>Student FTE*</t>
  </si>
  <si>
    <t>24-25 Audit</t>
  </si>
  <si>
    <t>25-26 Original</t>
  </si>
  <si>
    <t>26-27</t>
  </si>
  <si>
    <t>27-28</t>
  </si>
  <si>
    <t>31aa - Safety/Mental Health</t>
  </si>
  <si>
    <t>22l - Transportation</t>
  </si>
  <si>
    <t>TESA</t>
  </si>
  <si>
    <t>TESPA</t>
  </si>
  <si>
    <t>Retirement - Assume 1% rate increases</t>
  </si>
  <si>
    <t>FICA - rate of 7.65%</t>
  </si>
  <si>
    <t>Cost Reductions</t>
  </si>
  <si>
    <t>Salaries</t>
  </si>
  <si>
    <t>Benefits</t>
  </si>
  <si>
    <t>Purchased Services</t>
  </si>
  <si>
    <t>Cost Additions</t>
  </si>
  <si>
    <t>Grant Carryover</t>
  </si>
  <si>
    <t>Supplies</t>
  </si>
  <si>
    <t>28-29</t>
  </si>
  <si>
    <t>Healthcare - Assume 2% rate increases</t>
  </si>
  <si>
    <t xml:space="preserve">TSD - 4-Year General Fund Forecast </t>
  </si>
  <si>
    <t>25-26</t>
  </si>
  <si>
    <t>FTE</t>
  </si>
  <si>
    <t>Totals</t>
  </si>
  <si>
    <t>Grand Totals</t>
  </si>
  <si>
    <t>Projected Increases</t>
  </si>
  <si>
    <t>Annual Total</t>
  </si>
  <si>
    <t>February 2026</t>
  </si>
  <si>
    <t>25-26 Amendment #2</t>
  </si>
  <si>
    <t>27l(2) - Educator Comp</t>
  </si>
  <si>
    <t>Projected Foundation Change</t>
  </si>
  <si>
    <t xml:space="preserve"> </t>
  </si>
  <si>
    <t xml:space="preserve">Fund Balance % of expenditures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</si>
</sst>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 val="singleAccounting"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9">
    <xf numFmtId="0" fontId="0" fillId="0" borderId="0" xfId="0"/>
    <xf numFmtId="0" fontId="6" fillId="0" borderId="0" xfId="0" applyFont="1"/>
    <xf numFmtId="164" fontId="6" fillId="0" borderId="0" xfId="1" applyNumberFormat="1" applyFont="1" applyAlignment="1">
      <alignment horizontal="center"/>
    </xf>
    <xf numFmtId="164" fontId="6" fillId="0" borderId="0" xfId="1" quotePrefix="1" applyNumberFormat="1" applyFont="1" applyAlignment="1">
      <alignment horizontal="center"/>
    </xf>
    <xf numFmtId="0" fontId="8" fillId="0" borderId="0" xfId="0" applyFont="1"/>
    <xf numFmtId="165" fontId="8" fillId="0" borderId="0" xfId="3" applyNumberFormat="1" applyFont="1"/>
    <xf numFmtId="164" fontId="9" fillId="0" borderId="0" xfId="1" applyNumberFormat="1" applyFont="1"/>
    <xf numFmtId="164" fontId="8" fillId="0" borderId="0" xfId="1" applyNumberFormat="1" applyFont="1"/>
    <xf numFmtId="10" fontId="8" fillId="0" borderId="0" xfId="2" applyNumberFormat="1" applyFont="1" applyAlignment="1">
      <alignment horizontal="right"/>
    </xf>
    <xf numFmtId="10" fontId="8" fillId="0" borderId="0" xfId="0" applyNumberFormat="1" applyFont="1"/>
    <xf numFmtId="0" fontId="10" fillId="0" borderId="1" xfId="0" applyFont="1" applyBorder="1"/>
    <xf numFmtId="0" fontId="10" fillId="0" borderId="2" xfId="0" applyFont="1" applyBorder="1"/>
    <xf numFmtId="164" fontId="10" fillId="0" borderId="2" xfId="1" applyNumberFormat="1" applyFont="1" applyBorder="1"/>
    <xf numFmtId="0" fontId="6" fillId="2" borderId="0" xfId="0" applyFont="1" applyFill="1"/>
    <xf numFmtId="164" fontId="6" fillId="2" borderId="0" xfId="1" quotePrefix="1" applyNumberFormat="1" applyFont="1" applyFill="1" applyAlignment="1">
      <alignment horizontal="center"/>
    </xf>
    <xf numFmtId="164" fontId="6" fillId="2" borderId="0" xfId="1" applyNumberFormat="1" applyFont="1" applyFill="1" applyAlignment="1">
      <alignment horizontal="center"/>
    </xf>
    <xf numFmtId="165" fontId="8" fillId="2" borderId="0" xfId="3" applyNumberFormat="1" applyFont="1" applyFill="1"/>
    <xf numFmtId="0" fontId="8" fillId="2" borderId="0" xfId="0" applyFont="1" applyFill="1"/>
    <xf numFmtId="164" fontId="9" fillId="2" borderId="0" xfId="1" applyNumberFormat="1" applyFont="1" applyFill="1"/>
    <xf numFmtId="164" fontId="10" fillId="2" borderId="2" xfId="1" applyNumberFormat="1" applyFont="1" applyFill="1" applyBorder="1"/>
    <xf numFmtId="0" fontId="10" fillId="2" borderId="2" xfId="0" applyFont="1" applyFill="1" applyBorder="1"/>
    <xf numFmtId="164" fontId="8" fillId="2" borderId="0" xfId="1" applyNumberFormat="1" applyFont="1" applyFill="1"/>
    <xf numFmtId="10" fontId="8" fillId="2" borderId="0" xfId="2" applyNumberFormat="1" applyFont="1" applyFill="1" applyAlignment="1">
      <alignment horizontal="right"/>
    </xf>
    <xf numFmtId="10" fontId="8" fillId="2" borderId="0" xfId="0" applyNumberFormat="1" applyFont="1" applyFill="1"/>
    <xf numFmtId="0" fontId="6" fillId="0" borderId="0" xfId="0" applyFont="1" applyAlignment="1">
      <alignment horizontal="left" indent="3"/>
    </xf>
    <xf numFmtId="0" fontId="4" fillId="0" borderId="0" xfId="0" applyFont="1"/>
    <xf numFmtId="165" fontId="6" fillId="0" borderId="0" xfId="3" applyNumberFormat="1" applyFont="1" applyAlignment="1">
      <alignment horizontal="center"/>
    </xf>
    <xf numFmtId="165" fontId="6" fillId="0" borderId="0" xfId="3" applyNumberFormat="1" applyFont="1"/>
    <xf numFmtId="165" fontId="6" fillId="2" borderId="0" xfId="3" applyNumberFormat="1" applyFont="1" applyFill="1" applyAlignment="1">
      <alignment horizontal="center"/>
    </xf>
    <xf numFmtId="165" fontId="6" fillId="2" borderId="0" xfId="3" applyNumberFormat="1" applyFont="1" applyFill="1"/>
    <xf numFmtId="17" fontId="6" fillId="0" borderId="0" xfId="0" quotePrefix="1" applyNumberFormat="1" applyFont="1"/>
    <xf numFmtId="164" fontId="11" fillId="0" borderId="0" xfId="1" applyNumberFormat="1" applyFont="1"/>
    <xf numFmtId="0" fontId="11" fillId="0" borderId="0" xfId="0" applyFont="1"/>
    <xf numFmtId="164" fontId="10" fillId="0" borderId="0" xfId="1" applyNumberFormat="1" applyFont="1" applyAlignment="1">
      <alignment horizontal="left" indent="1"/>
    </xf>
    <xf numFmtId="0" fontId="8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164" fontId="8" fillId="0" borderId="0" xfId="1" applyNumberFormat="1" applyFont="1" applyAlignment="1">
      <alignment horizontal="left" indent="1"/>
    </xf>
    <xf numFmtId="164" fontId="7" fillId="0" borderId="0" xfId="1" applyNumberFormat="1" applyFont="1"/>
    <xf numFmtId="164" fontId="12" fillId="0" borderId="0" xfId="1" applyNumberFormat="1" applyFont="1"/>
    <xf numFmtId="0" fontId="6" fillId="0" borderId="0" xfId="0" applyFont="1" applyAlignment="1">
      <alignment wrapText="1"/>
    </xf>
    <xf numFmtId="164" fontId="7" fillId="0" borderId="0" xfId="1" applyNumberFormat="1" applyFont="1" applyAlignment="1">
      <alignment horizontal="center" wrapText="1"/>
    </xf>
    <xf numFmtId="164" fontId="7" fillId="2" borderId="0" xfId="1" applyNumberFormat="1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164" fontId="3" fillId="0" borderId="3" xfId="1" applyNumberFormat="1" applyFont="1" applyBorder="1"/>
    <xf numFmtId="164" fontId="6" fillId="0" borderId="0" xfId="1" applyNumberFormat="1" applyFont="1"/>
    <xf numFmtId="164" fontId="2" fillId="0" borderId="3" xfId="1" applyNumberFormat="1" applyFont="1" applyBorder="1" applyAlignment="1">
      <alignment horizontal="center"/>
    </xf>
    <xf numFmtId="165" fontId="1" fillId="2" borderId="0" xfId="3" applyNumberFormat="1" applyFont="1" applyFill="1"/>
    <xf numFmtId="164" fontId="1" fillId="0" borderId="0" xfId="1" applyNumberFormat="1" applyFont="1"/>
    <xf numFmtId="164" fontId="1" fillId="2" borderId="0" xfId="1" applyNumberFormat="1" applyFont="1" applyFill="1"/>
    <xf numFmtId="0" fontId="1" fillId="0" borderId="0" xfId="0" applyFont="1"/>
    <xf numFmtId="165" fontId="0" fillId="0" borderId="0" xfId="0" applyNumberFormat="1"/>
    <xf numFmtId="164" fontId="6" fillId="0" borderId="0" xfId="1" applyNumberFormat="1" applyFont="1" applyAlignment="1">
      <alignment horizontal="center"/>
    </xf>
    <xf numFmtId="164" fontId="2" fillId="0" borderId="3" xfId="1" applyNumberFormat="1" applyFont="1" applyBorder="1" applyAlignment="1">
      <alignment horizontal="center"/>
    </xf>
    <xf numFmtId="164" fontId="8" fillId="0" borderId="3" xfId="1" applyNumberFormat="1" applyFont="1" applyBorder="1" applyAlignment="1">
      <alignment horizontal="center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83E3-A5D3-F747-AC8D-7259A195B982}">
  <sheetPr>
    <pageSetUpPr fitToPage="1"/>
  </sheetPr>
  <dimension ref="A1:Q59"/>
  <sheetViews>
    <sheetView showGridLines="0" tabSelected="1" zoomScale="132" zoomScaleNormal="132" workbookViewId="0">
      <selection activeCell="O27" sqref="O27"/>
    </sheetView>
  </sheetViews>
  <sheetFormatPr baseColWidth="10" defaultColWidth="9.1640625" defaultRowHeight="16" x14ac:dyDescent="0.2"/>
  <cols>
    <col min="1" max="1" width="32.33203125" style="4" bestFit="1" customWidth="1"/>
    <col min="2" max="2" width="2.6640625" style="4" customWidth="1"/>
    <col min="3" max="3" width="17.1640625" style="7" customWidth="1"/>
    <col min="4" max="4" width="2.6640625" style="4" customWidth="1"/>
    <col min="5" max="5" width="17.1640625" style="4" customWidth="1"/>
    <col min="6" max="6" width="2.6640625" style="4" customWidth="1"/>
    <col min="7" max="7" width="15.5" style="7" customWidth="1"/>
    <col min="8" max="8" width="2.6640625" style="4" customWidth="1"/>
    <col min="9" max="9" width="14.6640625" style="7" customWidth="1"/>
    <col min="10" max="10" width="2.6640625" style="4" customWidth="1"/>
    <col min="11" max="11" width="14.6640625" style="7" customWidth="1"/>
    <col min="12" max="12" width="2.6640625" style="4" customWidth="1"/>
    <col min="13" max="13" width="14.6640625" style="7" customWidth="1"/>
    <col min="14" max="14" width="2.6640625" style="4" customWidth="1"/>
    <col min="15" max="15" width="15.33203125" style="4" bestFit="1" customWidth="1"/>
    <col min="16" max="16" width="2.6640625" style="4" customWidth="1"/>
    <col min="17" max="17" width="16.5" style="4" bestFit="1" customWidth="1"/>
    <col min="18" max="16384" width="9.1640625" style="4"/>
  </cols>
  <sheetData>
    <row r="1" spans="1:17" x14ac:dyDescent="0.2">
      <c r="A1" s="1" t="s">
        <v>35</v>
      </c>
    </row>
    <row r="2" spans="1:17" x14ac:dyDescent="0.2">
      <c r="A2" s="30" t="s">
        <v>42</v>
      </c>
      <c r="I2" s="7">
        <f>-(G5-I5)*G6</f>
        <v>-2167200</v>
      </c>
      <c r="K2" s="7">
        <f>I5*I7</f>
        <v>2967145</v>
      </c>
      <c r="M2" s="7">
        <f>K2+I2</f>
        <v>799945</v>
      </c>
    </row>
    <row r="3" spans="1:17" x14ac:dyDescent="0.2">
      <c r="C3" s="56"/>
      <c r="D3" s="56"/>
      <c r="E3" s="56"/>
      <c r="F3" s="56"/>
      <c r="G3" s="56"/>
      <c r="H3" s="56"/>
      <c r="I3" s="56"/>
      <c r="J3" s="56"/>
      <c r="K3" s="56"/>
      <c r="M3"/>
      <c r="N3"/>
      <c r="O3"/>
      <c r="P3"/>
      <c r="Q3"/>
    </row>
    <row r="4" spans="1:17" s="40" customFormat="1" ht="37.5" customHeight="1" x14ac:dyDescent="0.35">
      <c r="C4" s="41" t="s">
        <v>16</v>
      </c>
      <c r="E4" s="42" t="s">
        <v>17</v>
      </c>
      <c r="F4" s="43"/>
      <c r="G4" s="42" t="s">
        <v>43</v>
      </c>
      <c r="I4" s="41" t="s">
        <v>18</v>
      </c>
      <c r="K4" s="41" t="s">
        <v>19</v>
      </c>
      <c r="M4" s="41" t="s">
        <v>33</v>
      </c>
      <c r="N4" s="44"/>
      <c r="O4" s="44"/>
      <c r="P4" s="44"/>
      <c r="Q4" s="44"/>
    </row>
    <row r="5" spans="1:17" s="1" customFormat="1" x14ac:dyDescent="0.2">
      <c r="A5" s="1" t="s">
        <v>15</v>
      </c>
      <c r="C5" s="3">
        <v>12276.1</v>
      </c>
      <c r="E5" s="14">
        <v>12074</v>
      </c>
      <c r="F5" s="13"/>
      <c r="G5" s="14">
        <v>12068.58</v>
      </c>
      <c r="I5" s="3">
        <f>+G5-200</f>
        <v>11868.58</v>
      </c>
      <c r="K5" s="3">
        <f>+I5-200</f>
        <v>11668.58</v>
      </c>
      <c r="M5" s="3">
        <f>+K5-200</f>
        <v>11468.58</v>
      </c>
      <c r="N5"/>
      <c r="O5"/>
      <c r="P5"/>
      <c r="Q5"/>
    </row>
    <row r="6" spans="1:17" s="1" customFormat="1" x14ac:dyDescent="0.2">
      <c r="A6" s="1" t="s">
        <v>14</v>
      </c>
      <c r="C6" s="26">
        <v>10394</v>
      </c>
      <c r="D6" s="27"/>
      <c r="E6" s="28">
        <v>10786</v>
      </c>
      <c r="F6" s="29"/>
      <c r="G6" s="28">
        <v>10836</v>
      </c>
      <c r="H6" s="27"/>
      <c r="I6" s="26">
        <f>+G6+I7</f>
        <v>11086</v>
      </c>
      <c r="J6" s="27"/>
      <c r="K6" s="26">
        <f>+K7+I6</f>
        <v>11236</v>
      </c>
      <c r="L6" s="27"/>
      <c r="M6" s="26">
        <f>+M7+K6</f>
        <v>11386</v>
      </c>
      <c r="N6"/>
      <c r="O6"/>
      <c r="P6"/>
      <c r="Q6"/>
    </row>
    <row r="7" spans="1:17" s="1" customFormat="1" x14ac:dyDescent="0.2">
      <c r="A7" s="1" t="s">
        <v>45</v>
      </c>
      <c r="C7" s="26"/>
      <c r="D7" s="27"/>
      <c r="E7" s="28">
        <f>+E6-C6</f>
        <v>392</v>
      </c>
      <c r="F7" s="29"/>
      <c r="G7" s="28">
        <f>+G6-C6</f>
        <v>442</v>
      </c>
      <c r="H7" s="27"/>
      <c r="I7" s="26">
        <v>250</v>
      </c>
      <c r="J7" s="27"/>
      <c r="K7" s="26">
        <v>150</v>
      </c>
      <c r="L7" s="27"/>
      <c r="M7" s="26">
        <v>150</v>
      </c>
      <c r="N7"/>
      <c r="O7"/>
      <c r="P7"/>
      <c r="Q7"/>
    </row>
    <row r="8" spans="1:17" s="1" customFormat="1" x14ac:dyDescent="0.2">
      <c r="C8" s="2"/>
      <c r="E8" s="15"/>
      <c r="F8" s="13"/>
      <c r="G8" s="15"/>
      <c r="I8" s="2"/>
      <c r="K8" s="2"/>
      <c r="M8" s="2"/>
      <c r="N8"/>
      <c r="O8"/>
      <c r="P8"/>
      <c r="Q8"/>
    </row>
    <row r="9" spans="1:17" x14ac:dyDescent="0.2">
      <c r="A9" s="1" t="s">
        <v>1</v>
      </c>
      <c r="C9" s="5">
        <f>190573261-C18-C25</f>
        <v>188525893.77000001</v>
      </c>
      <c r="E9" s="16">
        <f>190545984-E18-E25</f>
        <v>187285099</v>
      </c>
      <c r="F9" s="17"/>
      <c r="G9" s="51">
        <f>201232225-G18-G25</f>
        <v>192992509</v>
      </c>
      <c r="I9" s="5">
        <f>+G9-((G5-I5)*G6)+(I7*I5)</f>
        <v>193792454</v>
      </c>
      <c r="K9" s="5">
        <f>+I9-((I5-K5)*I6)+(K7*K5)</f>
        <v>193325541</v>
      </c>
      <c r="M9" s="5">
        <f>+K9-((K5-M5)*K6)+(M7*M5)</f>
        <v>192798628</v>
      </c>
      <c r="N9"/>
      <c r="O9" s="55"/>
      <c r="P9"/>
      <c r="Q9"/>
    </row>
    <row r="10" spans="1:17" ht="20" thickBot="1" x14ac:dyDescent="0.4">
      <c r="A10" s="1" t="s">
        <v>2</v>
      </c>
      <c r="C10" s="6">
        <f>193633993-C20</f>
        <v>193633993</v>
      </c>
      <c r="E10" s="18">
        <f>194285613-E20</f>
        <v>194285613</v>
      </c>
      <c r="F10" s="17"/>
      <c r="G10" s="18">
        <f>206832475-G20</f>
        <v>205047613</v>
      </c>
      <c r="I10" s="6">
        <f>G10+I44+I49+I59</f>
        <v>199580638.665025</v>
      </c>
      <c r="K10" s="6">
        <f>I10+K44+K49+K59-4000000</f>
        <v>198311107.23908025</v>
      </c>
      <c r="M10" s="6">
        <f>K10+M44+M49+M59</f>
        <v>197210972.12089211</v>
      </c>
      <c r="N10"/>
      <c r="O10" s="55"/>
      <c r="P10"/>
      <c r="Q10"/>
    </row>
    <row r="11" spans="1:17" ht="17" thickBot="1" x14ac:dyDescent="0.25">
      <c r="A11" s="10" t="s">
        <v>3</v>
      </c>
      <c r="B11" s="11"/>
      <c r="C11" s="12">
        <f>C9-C10</f>
        <v>-5108099.2299999893</v>
      </c>
      <c r="D11" s="11"/>
      <c r="E11" s="19">
        <f>E9-E10</f>
        <v>-7000514</v>
      </c>
      <c r="F11" s="20"/>
      <c r="G11" s="19">
        <f>G9-G10</f>
        <v>-12055104</v>
      </c>
      <c r="H11" s="11"/>
      <c r="I11" s="12">
        <f>I9-I10</f>
        <v>-5788184.6650249958</v>
      </c>
      <c r="J11" s="11"/>
      <c r="K11" s="12">
        <f>K9-K10</f>
        <v>-4985566.2390802503</v>
      </c>
      <c r="L11" s="11"/>
      <c r="M11" s="12">
        <f>M9-M10</f>
        <v>-4412344.1208921075</v>
      </c>
      <c r="N11"/>
      <c r="O11" s="55"/>
      <c r="P11"/>
      <c r="Q11"/>
    </row>
    <row r="12" spans="1:17" s="1" customFormat="1" ht="8" customHeight="1" x14ac:dyDescent="0.2">
      <c r="C12" s="2"/>
      <c r="E12" s="15"/>
      <c r="F12" s="13"/>
      <c r="G12" s="15"/>
      <c r="I12" s="2"/>
      <c r="K12" s="2"/>
      <c r="M12" s="2"/>
      <c r="N12"/>
      <c r="O12"/>
      <c r="P12"/>
      <c r="Q12"/>
    </row>
    <row r="13" spans="1:17" x14ac:dyDescent="0.2">
      <c r="A13" s="1" t="s">
        <v>4</v>
      </c>
      <c r="E13" s="21"/>
      <c r="F13" s="17"/>
      <c r="G13" s="21"/>
      <c r="N13"/>
      <c r="O13" s="55"/>
      <c r="P13"/>
      <c r="Q13"/>
    </row>
    <row r="14" spans="1:17" x14ac:dyDescent="0.2">
      <c r="A14" s="24" t="s">
        <v>31</v>
      </c>
      <c r="C14" s="52"/>
      <c r="E14" s="21"/>
      <c r="F14" s="17"/>
      <c r="G14" s="21"/>
      <c r="I14" s="52">
        <v>2500000</v>
      </c>
      <c r="J14" s="54"/>
      <c r="K14" s="52">
        <v>1500000</v>
      </c>
      <c r="L14" s="54"/>
      <c r="M14" s="52">
        <v>1000000</v>
      </c>
      <c r="N14"/>
      <c r="O14"/>
      <c r="P14"/>
      <c r="Q14"/>
    </row>
    <row r="15" spans="1:17" x14ac:dyDescent="0.2">
      <c r="A15" s="24" t="s">
        <v>44</v>
      </c>
      <c r="C15" s="52">
        <v>0</v>
      </c>
      <c r="E15" s="53">
        <v>0</v>
      </c>
      <c r="F15" s="17"/>
      <c r="G15" s="53">
        <v>1784862</v>
      </c>
      <c r="I15" s="52">
        <v>0</v>
      </c>
      <c r="J15" s="54"/>
      <c r="K15" s="52">
        <v>0</v>
      </c>
      <c r="L15" s="54"/>
      <c r="M15" s="52">
        <v>0</v>
      </c>
      <c r="N15"/>
      <c r="O15"/>
      <c r="P15"/>
      <c r="Q15"/>
    </row>
    <row r="16" spans="1:17" x14ac:dyDescent="0.2">
      <c r="A16" s="24" t="s">
        <v>20</v>
      </c>
      <c r="C16" s="52">
        <v>1389660</v>
      </c>
      <c r="E16" s="53">
        <f>+C16</f>
        <v>1389660</v>
      </c>
      <c r="F16" s="17"/>
      <c r="G16" s="53">
        <f>1966318+1830829</f>
        <v>3797147</v>
      </c>
      <c r="I16" s="52">
        <f>(+G16-1830829)*1.02</f>
        <v>2005644.36</v>
      </c>
      <c r="J16" s="54"/>
      <c r="K16" s="52">
        <f>+I16*1.02</f>
        <v>2045757.2472000001</v>
      </c>
      <c r="L16" s="54"/>
      <c r="M16" s="52">
        <f>+K16*1.02</f>
        <v>2086672.3921440002</v>
      </c>
      <c r="N16"/>
      <c r="O16"/>
      <c r="P16"/>
      <c r="Q16"/>
    </row>
    <row r="17" spans="1:17" ht="19" x14ac:dyDescent="0.35">
      <c r="A17" s="24" t="s">
        <v>21</v>
      </c>
      <c r="C17" s="6">
        <v>657707.23</v>
      </c>
      <c r="E17" s="18">
        <v>671225</v>
      </c>
      <c r="F17" s="17"/>
      <c r="G17" s="18">
        <v>657707</v>
      </c>
      <c r="I17" s="6">
        <f>+G17*1.02</f>
        <v>670861.14</v>
      </c>
      <c r="J17" s="54"/>
      <c r="K17" s="6">
        <f>+I17*1.02</f>
        <v>684278.3628</v>
      </c>
      <c r="L17" s="54"/>
      <c r="M17" s="6">
        <f>+K17*1.02</f>
        <v>697963.93005600001</v>
      </c>
      <c r="N17"/>
      <c r="O17"/>
      <c r="P17"/>
      <c r="Q17"/>
    </row>
    <row r="18" spans="1:17" x14ac:dyDescent="0.2">
      <c r="A18" s="1"/>
      <c r="C18" s="7">
        <f>SUM(C14:C17)</f>
        <v>2047367.23</v>
      </c>
      <c r="E18" s="21">
        <f>SUM(E14:E17)</f>
        <v>2060885</v>
      </c>
      <c r="F18" s="17"/>
      <c r="G18" s="21">
        <f>SUM(G14:G17)</f>
        <v>6239716</v>
      </c>
      <c r="I18" s="7">
        <f>SUM(I14:I17)</f>
        <v>5176505.5</v>
      </c>
      <c r="K18" s="7">
        <f>SUM(K14:K17)</f>
        <v>4230035.6100000003</v>
      </c>
      <c r="M18" s="7">
        <f>SUM(M14:M17)</f>
        <v>3784636.3222000003</v>
      </c>
      <c r="N18"/>
      <c r="O18"/>
      <c r="P18"/>
      <c r="Q18"/>
    </row>
    <row r="19" spans="1:17" s="1" customFormat="1" ht="8" customHeight="1" x14ac:dyDescent="0.2">
      <c r="C19" s="2"/>
      <c r="E19" s="15"/>
      <c r="F19" s="13"/>
      <c r="G19" s="15"/>
      <c r="I19" s="2"/>
      <c r="K19" s="2"/>
      <c r="M19" s="2"/>
      <c r="N19"/>
      <c r="O19" t="s">
        <v>46</v>
      </c>
      <c r="P19"/>
      <c r="Q19"/>
    </row>
    <row r="20" spans="1:17" x14ac:dyDescent="0.2">
      <c r="A20" s="1" t="s">
        <v>11</v>
      </c>
      <c r="C20" s="7">
        <v>0</v>
      </c>
      <c r="E20" s="21">
        <v>0</v>
      </c>
      <c r="F20" s="17"/>
      <c r="G20" s="53">
        <v>1784862</v>
      </c>
      <c r="I20" s="7">
        <v>0</v>
      </c>
      <c r="K20" s="7">
        <v>0</v>
      </c>
      <c r="M20" s="7">
        <v>0</v>
      </c>
      <c r="N20"/>
      <c r="O20"/>
      <c r="P20"/>
      <c r="Q20"/>
    </row>
    <row r="21" spans="1:17" s="1" customFormat="1" ht="8" customHeight="1" x14ac:dyDescent="0.2">
      <c r="C21" s="2"/>
      <c r="E21" s="15"/>
      <c r="F21" s="13"/>
      <c r="G21" s="15"/>
      <c r="I21" s="2"/>
      <c r="K21" s="2"/>
      <c r="M21" s="2"/>
      <c r="N21"/>
      <c r="O21"/>
      <c r="P21"/>
      <c r="Q21"/>
    </row>
    <row r="22" spans="1:17" x14ac:dyDescent="0.2">
      <c r="A22" s="1" t="s">
        <v>5</v>
      </c>
      <c r="E22" s="21"/>
      <c r="F22" s="17"/>
      <c r="G22" s="21"/>
      <c r="N22"/>
      <c r="O22"/>
      <c r="P22"/>
      <c r="Q22"/>
    </row>
    <row r="23" spans="1:17" x14ac:dyDescent="0.2">
      <c r="A23" s="1" t="s">
        <v>6</v>
      </c>
      <c r="C23" s="7">
        <v>0</v>
      </c>
      <c r="E23" s="21">
        <v>0</v>
      </c>
      <c r="F23" s="17"/>
      <c r="G23" s="21">
        <v>0</v>
      </c>
      <c r="I23" s="7">
        <v>0</v>
      </c>
      <c r="K23" s="7">
        <v>0</v>
      </c>
      <c r="M23" s="7">
        <v>0</v>
      </c>
      <c r="N23"/>
      <c r="O23"/>
      <c r="P23"/>
      <c r="Q23"/>
    </row>
    <row r="24" spans="1:17" ht="19" x14ac:dyDescent="0.35">
      <c r="A24" s="1" t="s">
        <v>7</v>
      </c>
      <c r="C24" s="6">
        <v>0</v>
      </c>
      <c r="E24" s="18">
        <v>1200000</v>
      </c>
      <c r="F24" s="17"/>
      <c r="G24" s="18">
        <v>2000000</v>
      </c>
      <c r="I24" s="6">
        <v>2500000</v>
      </c>
      <c r="J24" s="54"/>
      <c r="K24" s="6">
        <v>500000</v>
      </c>
      <c r="L24" s="54"/>
      <c r="M24" s="6">
        <v>500000</v>
      </c>
      <c r="N24"/>
      <c r="O24"/>
      <c r="P24"/>
      <c r="Q24"/>
    </row>
    <row r="25" spans="1:17" x14ac:dyDescent="0.2">
      <c r="A25" s="1"/>
      <c r="C25" s="7">
        <f>SUM(C23:C24)</f>
        <v>0</v>
      </c>
      <c r="E25" s="21">
        <f>SUM(E23:E24)</f>
        <v>1200000</v>
      </c>
      <c r="F25" s="17"/>
      <c r="G25" s="21">
        <f>SUM(G23:G24)</f>
        <v>2000000</v>
      </c>
      <c r="I25" s="7">
        <f>SUM(I23:I24)</f>
        <v>2500000</v>
      </c>
      <c r="K25" s="7">
        <f>SUM(K23:K24)</f>
        <v>500000</v>
      </c>
      <c r="M25" s="7">
        <f>SUM(M23:M24)</f>
        <v>500000</v>
      </c>
      <c r="N25"/>
      <c r="O25"/>
      <c r="P25"/>
      <c r="Q25"/>
    </row>
    <row r="26" spans="1:17" s="1" customFormat="1" ht="8" customHeight="1" x14ac:dyDescent="0.2">
      <c r="C26" s="2"/>
      <c r="E26" s="15"/>
      <c r="F26" s="13"/>
      <c r="G26" s="15"/>
      <c r="I26" s="2"/>
      <c r="K26" s="2"/>
      <c r="M26" s="2"/>
      <c r="N26"/>
      <c r="O26"/>
      <c r="P26"/>
      <c r="Q26"/>
    </row>
    <row r="27" spans="1:17" x14ac:dyDescent="0.2">
      <c r="A27" s="1" t="s">
        <v>8</v>
      </c>
      <c r="C27" s="7">
        <f>C11+C18+-C20+C25</f>
        <v>-3060731.9999999893</v>
      </c>
      <c r="E27" s="21">
        <f>E11+E18+-E20+E25</f>
        <v>-3739629</v>
      </c>
      <c r="F27" s="17"/>
      <c r="G27" s="21">
        <f>G11+G18+-G20+G25</f>
        <v>-5600250</v>
      </c>
      <c r="I27" s="7">
        <f>I11+I18+-I20+I25</f>
        <v>1888320.8349750042</v>
      </c>
      <c r="K27" s="7">
        <f>K11+K18+-K20+K25</f>
        <v>-255530.62908024993</v>
      </c>
      <c r="M27" s="7">
        <f>M11+M18+-M20+M25</f>
        <v>-127707.7986921072</v>
      </c>
      <c r="N27"/>
      <c r="O27"/>
      <c r="P27"/>
      <c r="Q27"/>
    </row>
    <row r="28" spans="1:17" s="1" customFormat="1" ht="8" customHeight="1" x14ac:dyDescent="0.2">
      <c r="C28" s="2"/>
      <c r="E28" s="15"/>
      <c r="F28" s="13"/>
      <c r="G28" s="15"/>
      <c r="I28" s="2"/>
      <c r="K28" s="2"/>
      <c r="M28" s="2"/>
      <c r="N28"/>
      <c r="O28"/>
      <c r="P28"/>
      <c r="Q28"/>
    </row>
    <row r="29" spans="1:17" ht="19" x14ac:dyDescent="0.35">
      <c r="A29" s="1" t="s">
        <v>9</v>
      </c>
      <c r="C29" s="6">
        <v>36774527</v>
      </c>
      <c r="E29" s="18">
        <f>C31</f>
        <v>33713795.000000007</v>
      </c>
      <c r="F29" s="17"/>
      <c r="G29" s="18">
        <f>C31</f>
        <v>33713795.000000007</v>
      </c>
      <c r="I29" s="6">
        <f>G31</f>
        <v>28113545.000000007</v>
      </c>
      <c r="K29" s="6">
        <f>I31</f>
        <v>30001865.834975012</v>
      </c>
      <c r="M29" s="6">
        <f>K31</f>
        <v>29746335.205894761</v>
      </c>
      <c r="N29"/>
      <c r="O29"/>
      <c r="P29"/>
      <c r="Q29"/>
    </row>
    <row r="30" spans="1:17" s="1" customFormat="1" ht="8" customHeight="1" x14ac:dyDescent="0.2">
      <c r="C30" s="2"/>
      <c r="E30" s="15"/>
      <c r="F30" s="13"/>
      <c r="G30" s="15"/>
      <c r="I30" s="2"/>
      <c r="K30" s="2"/>
      <c r="M30" s="2"/>
      <c r="N30"/>
      <c r="O30"/>
      <c r="P30"/>
      <c r="Q30"/>
    </row>
    <row r="31" spans="1:17" x14ac:dyDescent="0.2">
      <c r="A31" s="1" t="s">
        <v>10</v>
      </c>
      <c r="C31" s="7">
        <f>C27+C29</f>
        <v>33713795.000000007</v>
      </c>
      <c r="E31" s="21">
        <f>E27+E29</f>
        <v>29974166.000000007</v>
      </c>
      <c r="F31" s="17"/>
      <c r="G31" s="21">
        <f>G27+G29</f>
        <v>28113545.000000007</v>
      </c>
      <c r="I31" s="7">
        <f>I27+I29</f>
        <v>30001865.834975012</v>
      </c>
      <c r="K31" s="7">
        <f>K27+K29</f>
        <v>29746335.205894761</v>
      </c>
      <c r="M31" s="7">
        <f>M27+M29</f>
        <v>29618627.407202654</v>
      </c>
      <c r="N31"/>
      <c r="O31"/>
      <c r="P31"/>
      <c r="Q31"/>
    </row>
    <row r="32" spans="1:17" x14ac:dyDescent="0.2">
      <c r="A32" s="1" t="s">
        <v>47</v>
      </c>
      <c r="C32" s="8">
        <f>C31/(C10+C20)</f>
        <v>0.17411093206139691</v>
      </c>
      <c r="D32" s="9"/>
      <c r="E32" s="22">
        <f>E31/(E10+E20)</f>
        <v>0.1542788760174435</v>
      </c>
      <c r="F32" s="23"/>
      <c r="G32" s="22">
        <f>G31/(G10+G20)</f>
        <v>0.13592423046719335</v>
      </c>
      <c r="H32" s="9"/>
      <c r="I32" s="8">
        <f>I31/(I10+I20)</f>
        <v>0.15032453065414814</v>
      </c>
      <c r="J32" s="9"/>
      <c r="K32" s="8">
        <f>K31/(K10+K20)</f>
        <v>0.14999833151066583</v>
      </c>
      <c r="L32" s="9"/>
      <c r="M32" s="8">
        <f>M31/(M10+M20)</f>
        <v>0.15018752297943225</v>
      </c>
      <c r="N32"/>
      <c r="O32"/>
      <c r="P32"/>
      <c r="Q32"/>
    </row>
    <row r="33" spans="1:17" x14ac:dyDescent="0.2">
      <c r="E33" s="17"/>
      <c r="F33" s="17"/>
      <c r="G33" s="21"/>
      <c r="N33"/>
      <c r="O33"/>
      <c r="P33"/>
      <c r="Q33"/>
    </row>
    <row r="34" spans="1:17" x14ac:dyDescent="0.2">
      <c r="A34" s="25"/>
    </row>
    <row r="37" spans="1:17" x14ac:dyDescent="0.2">
      <c r="G37" s="50" t="s">
        <v>41</v>
      </c>
      <c r="I37" s="57" t="s">
        <v>40</v>
      </c>
      <c r="J37" s="58"/>
      <c r="K37" s="58"/>
      <c r="L37" s="58"/>
      <c r="M37" s="58"/>
    </row>
    <row r="38" spans="1:17" ht="20" x14ac:dyDescent="0.35">
      <c r="C38" s="38" t="s">
        <v>30</v>
      </c>
      <c r="E38" s="41" t="s">
        <v>37</v>
      </c>
      <c r="G38" s="41" t="s">
        <v>36</v>
      </c>
      <c r="I38" s="41" t="s">
        <v>18</v>
      </c>
      <c r="J38" s="40"/>
      <c r="K38" s="41" t="s">
        <v>19</v>
      </c>
      <c r="L38" s="40"/>
      <c r="M38" s="41" t="s">
        <v>33</v>
      </c>
    </row>
    <row r="39" spans="1:17" x14ac:dyDescent="0.2">
      <c r="C39" s="34" t="s">
        <v>12</v>
      </c>
      <c r="E39" s="45">
        <v>870</v>
      </c>
      <c r="G39" s="7">
        <v>73747467</v>
      </c>
      <c r="I39" s="7">
        <f>G39*0.05</f>
        <v>3687373.35</v>
      </c>
      <c r="K39" s="7">
        <f>(G39+I39)*0.05</f>
        <v>3871742.0175000001</v>
      </c>
      <c r="M39" s="7">
        <f>(G39+I39+K39)*0.045</f>
        <v>3658796.2065374996</v>
      </c>
    </row>
    <row r="40" spans="1:17" x14ac:dyDescent="0.2">
      <c r="C40" s="34" t="s">
        <v>0</v>
      </c>
      <c r="E40" s="45">
        <v>47</v>
      </c>
      <c r="G40" s="7">
        <v>6827518</v>
      </c>
      <c r="I40" s="7">
        <f t="shared" ref="I40:I43" si="0">G40*0.05</f>
        <v>341375.9</v>
      </c>
      <c r="K40" s="7">
        <f>(G40+I40)*0.03</f>
        <v>215066.81700000001</v>
      </c>
      <c r="M40" s="7">
        <f>(G40+I40+K40)*0.03</f>
        <v>221518.82151000001</v>
      </c>
      <c r="O40" s="25"/>
    </row>
    <row r="41" spans="1:17" x14ac:dyDescent="0.2">
      <c r="C41" s="35" t="s">
        <v>22</v>
      </c>
      <c r="E41" s="45">
        <v>75</v>
      </c>
      <c r="G41" s="7">
        <v>3156837</v>
      </c>
      <c r="I41" s="7">
        <f t="shared" si="0"/>
        <v>157841.85</v>
      </c>
      <c r="K41" s="7">
        <f>(G41+I41)*0.05</f>
        <v>165733.9425</v>
      </c>
      <c r="M41" s="7">
        <f t="shared" ref="M41:M42" si="1">(G41+I41+K41)*0.05</f>
        <v>174020.63962500001</v>
      </c>
    </row>
    <row r="42" spans="1:17" x14ac:dyDescent="0.2">
      <c r="C42" s="35" t="s">
        <v>23</v>
      </c>
      <c r="E42" s="45">
        <v>107</v>
      </c>
      <c r="G42" s="7">
        <v>3495149</v>
      </c>
      <c r="I42" s="7">
        <f t="shared" si="0"/>
        <v>174757.45</v>
      </c>
      <c r="K42" s="7">
        <f>(G42+I42)*0.05</f>
        <v>183495.32250000001</v>
      </c>
      <c r="M42" s="7">
        <f t="shared" si="1"/>
        <v>192670.088625</v>
      </c>
    </row>
    <row r="43" spans="1:17" x14ac:dyDescent="0.2">
      <c r="C43" s="34" t="s">
        <v>13</v>
      </c>
      <c r="E43" s="46">
        <v>138</v>
      </c>
      <c r="F43" s="47"/>
      <c r="G43" s="48">
        <v>7135686</v>
      </c>
      <c r="H43" s="47"/>
      <c r="I43" s="48">
        <f t="shared" si="0"/>
        <v>356784.30000000005</v>
      </c>
      <c r="J43" s="47"/>
      <c r="K43" s="48">
        <f>(G43+I43)*0.03</f>
        <v>224774.109</v>
      </c>
      <c r="L43" s="47"/>
      <c r="M43" s="48">
        <f>(G43+I43+K43)*0.03</f>
        <v>231517.33226999998</v>
      </c>
      <c r="O43" s="25"/>
    </row>
    <row r="44" spans="1:17" x14ac:dyDescent="0.2">
      <c r="C44" s="36" t="s">
        <v>38</v>
      </c>
      <c r="E44" s="45">
        <f>SUM(E39:E43)</f>
        <v>1237</v>
      </c>
      <c r="G44" s="7">
        <f>SUM(G39:G43)</f>
        <v>94362657</v>
      </c>
      <c r="I44" s="7">
        <f>SUM(I39:I43)</f>
        <v>4718132.8499999996</v>
      </c>
      <c r="K44" s="7">
        <f>SUM(K39:K43)</f>
        <v>4660812.2084999997</v>
      </c>
      <c r="M44" s="7">
        <f>SUM(M39:M43)</f>
        <v>4478523.0885675</v>
      </c>
    </row>
    <row r="45" spans="1:17" x14ac:dyDescent="0.2">
      <c r="C45" s="37"/>
    </row>
    <row r="46" spans="1:17" x14ac:dyDescent="0.2">
      <c r="C46" s="36" t="s">
        <v>24</v>
      </c>
      <c r="G46" s="7">
        <f>G44*0.31</f>
        <v>29252423.669999998</v>
      </c>
      <c r="I46" s="7">
        <f>I44*0.32</f>
        <v>1509802.5119999999</v>
      </c>
      <c r="K46" s="7">
        <f>K44*0.33</f>
        <v>1538068.028805</v>
      </c>
      <c r="M46" s="7">
        <f>M44*0.34</f>
        <v>1522697.8501129502</v>
      </c>
    </row>
    <row r="47" spans="1:17" x14ac:dyDescent="0.2">
      <c r="C47" s="36" t="s">
        <v>25</v>
      </c>
      <c r="G47" s="7">
        <f>G44*0.0765</f>
        <v>7218743.2604999999</v>
      </c>
      <c r="I47" s="7">
        <f>I44*0.0765</f>
        <v>360937.16302499996</v>
      </c>
      <c r="K47" s="7">
        <f>K44*0.0765</f>
        <v>356552.13395024999</v>
      </c>
      <c r="M47" s="7">
        <f>M44*0.0765</f>
        <v>342607.01627541374</v>
      </c>
    </row>
    <row r="48" spans="1:17" ht="19" x14ac:dyDescent="0.35">
      <c r="C48" s="36" t="s">
        <v>34</v>
      </c>
      <c r="G48" s="6">
        <v>14707657</v>
      </c>
      <c r="I48" s="6">
        <f>G48*0.02</f>
        <v>294153.14</v>
      </c>
      <c r="K48" s="6">
        <f>(G48+I48)*0.02</f>
        <v>300036.20280000003</v>
      </c>
      <c r="M48" s="6">
        <f>(G48+I48+K48)*0.02</f>
        <v>306036.92685600003</v>
      </c>
    </row>
    <row r="49" spans="3:13" x14ac:dyDescent="0.2">
      <c r="G49" s="7">
        <f>SUM(G46:G48)</f>
        <v>51178823.930500001</v>
      </c>
      <c r="I49" s="7">
        <f>SUM(I46:I48)</f>
        <v>2164892.8150249999</v>
      </c>
      <c r="K49" s="7">
        <f>SUM(K46:K48)</f>
        <v>2194656.3655552501</v>
      </c>
      <c r="M49" s="7">
        <f>SUM(M46:M48)</f>
        <v>2171341.7932443642</v>
      </c>
    </row>
    <row r="51" spans="3:13" x14ac:dyDescent="0.2">
      <c r="E51" s="1" t="s">
        <v>39</v>
      </c>
      <c r="F51" s="1"/>
      <c r="G51" s="49">
        <f>G44+G49</f>
        <v>145541480.9305</v>
      </c>
      <c r="H51" s="1"/>
      <c r="I51" s="49">
        <f>I44+I49</f>
        <v>6883025.6650249995</v>
      </c>
      <c r="J51" s="1"/>
      <c r="K51" s="49">
        <f>K44+K49</f>
        <v>6855468.5740552498</v>
      </c>
      <c r="L51" s="1"/>
      <c r="M51" s="49">
        <f>M44+M49</f>
        <v>6649864.8818118647</v>
      </c>
    </row>
    <row r="53" spans="3:13" ht="19" x14ac:dyDescent="0.35">
      <c r="C53" s="39" t="s">
        <v>26</v>
      </c>
      <c r="D53" s="32"/>
      <c r="E53" s="32"/>
      <c r="F53" s="32"/>
      <c r="G53" s="31"/>
      <c r="H53" s="32"/>
      <c r="I53" s="31"/>
      <c r="J53" s="32"/>
      <c r="K53" s="31"/>
      <c r="L53" s="32"/>
      <c r="M53" s="31"/>
    </row>
    <row r="54" spans="3:13" x14ac:dyDescent="0.2">
      <c r="C54" s="33" t="s">
        <v>27</v>
      </c>
      <c r="D54" s="32"/>
      <c r="E54" s="32"/>
      <c r="F54" s="32"/>
      <c r="G54" s="31"/>
      <c r="H54" s="32"/>
      <c r="I54" s="31">
        <v>-6000000</v>
      </c>
      <c r="J54" s="32"/>
      <c r="K54" s="31">
        <v>-2750000</v>
      </c>
      <c r="L54" s="32"/>
      <c r="M54" s="31">
        <v>-4500000</v>
      </c>
    </row>
    <row r="55" spans="3:13" x14ac:dyDescent="0.2">
      <c r="C55" s="33" t="s">
        <v>28</v>
      </c>
      <c r="D55" s="32"/>
      <c r="E55" s="32"/>
      <c r="F55" s="32"/>
      <c r="G55" s="31"/>
      <c r="H55" s="32"/>
      <c r="I55" s="31">
        <f>I54*0.5</f>
        <v>-3000000</v>
      </c>
      <c r="J55" s="32"/>
      <c r="K55" s="31">
        <f>K54*0.5</f>
        <v>-1375000</v>
      </c>
      <c r="L55" s="32"/>
      <c r="M55" s="31">
        <f>M54*0.5</f>
        <v>-2250000</v>
      </c>
    </row>
    <row r="56" spans="3:13" x14ac:dyDescent="0.2">
      <c r="C56" s="33" t="s">
        <v>29</v>
      </c>
      <c r="D56" s="32"/>
      <c r="E56" s="32"/>
      <c r="F56" s="32"/>
      <c r="G56" s="31"/>
      <c r="H56" s="32"/>
      <c r="I56" s="31">
        <v>-2750000</v>
      </c>
      <c r="J56" s="32"/>
      <c r="K56" s="31">
        <v>0</v>
      </c>
      <c r="L56" s="32"/>
      <c r="M56" s="31">
        <v>-1000000</v>
      </c>
    </row>
    <row r="57" spans="3:13" x14ac:dyDescent="0.2">
      <c r="C57" s="33" t="s">
        <v>32</v>
      </c>
      <c r="D57" s="32"/>
      <c r="E57" s="32"/>
      <c r="F57" s="32"/>
      <c r="G57" s="31"/>
      <c r="H57" s="32"/>
      <c r="I57" s="31">
        <v>-600000</v>
      </c>
      <c r="J57" s="32"/>
      <c r="K57" s="31"/>
      <c r="L57" s="32"/>
      <c r="M57" s="31"/>
    </row>
    <row r="58" spans="3:13" x14ac:dyDescent="0.2">
      <c r="C58" s="33"/>
      <c r="D58" s="32"/>
      <c r="E58" s="32"/>
      <c r="F58" s="32"/>
      <c r="G58" s="31"/>
      <c r="H58" s="32"/>
      <c r="I58" s="31"/>
      <c r="J58" s="32"/>
      <c r="K58" s="31"/>
      <c r="L58" s="32"/>
      <c r="M58" s="31"/>
    </row>
    <row r="59" spans="3:13" x14ac:dyDescent="0.2">
      <c r="C59" s="33"/>
      <c r="D59" s="32"/>
      <c r="E59" s="32"/>
      <c r="F59" s="32"/>
      <c r="G59" s="31"/>
      <c r="H59" s="32"/>
      <c r="I59" s="31">
        <f>SUM(I54:I58)</f>
        <v>-12350000</v>
      </c>
      <c r="J59" s="32"/>
      <c r="K59" s="31">
        <f>SUM(K54:K58)</f>
        <v>-4125000</v>
      </c>
      <c r="L59" s="32"/>
      <c r="M59" s="31">
        <f>SUM(M54:M58)</f>
        <v>-7750000</v>
      </c>
    </row>
  </sheetData>
  <mergeCells count="2">
    <mergeCell ref="C3:K3"/>
    <mergeCell ref="I37:M37"/>
  </mergeCells>
  <pageMargins left="0.7" right="0.7" top="0.75" bottom="0.75" header="0.3" footer="0.3"/>
  <pageSetup scale="9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DF0B8C7DF9684393C43814AFC31026" ma:contentTypeVersion="6" ma:contentTypeDescription="Create a new document." ma:contentTypeScope="" ma:versionID="538de27f961b45142ba55238fe3d7113">
  <xsd:schema xmlns:xsd="http://www.w3.org/2001/XMLSchema" xmlns:xs="http://www.w3.org/2001/XMLSchema" xmlns:p="http://schemas.microsoft.com/office/2006/metadata/properties" xmlns:ns2="b964ff56-47b2-4a44-935f-18dbc076a7ff" xmlns:ns3="82d1a114-df06-4855-9340-79ae39710090" targetNamespace="http://schemas.microsoft.com/office/2006/metadata/properties" ma:root="true" ma:fieldsID="75850bd2d1718c58d953921c07730ccb" ns2:_="" ns3:_="">
    <xsd:import namespace="b964ff56-47b2-4a44-935f-18dbc076a7ff"/>
    <xsd:import namespace="82d1a114-df06-4855-9340-79ae397100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64ff56-47b2-4a44-935f-18dbc076a7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d1a114-df06-4855-9340-79ae3971009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8298DB-C732-43BE-BFC3-032B0F76994D}">
  <ds:schemaRefs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82d1a114-df06-4855-9340-79ae39710090"/>
    <ds:schemaRef ds:uri="b964ff56-47b2-4a44-935f-18dbc076a7f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6EC7CC3-19F1-4FC2-B5F5-0DCEE01970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5FDB72-C5DD-4FDA-AEDC-25CB576AB5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64ff56-47b2-4a44-935f-18dbc076a7ff"/>
    <ds:schemaRef ds:uri="82d1a114-df06-4855-9340-79ae397100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FY26</vt:lpstr>
      <vt:lpstr>'FY26'!Print_Area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Moynihan, Kandice</dc:creator>
  <cp:lastModifiedBy>Trudel, Daniel</cp:lastModifiedBy>
  <cp:lastPrinted>2026-03-10T20:16:24Z</cp:lastPrinted>
  <dcterms:created xsi:type="dcterms:W3CDTF">2022-03-17T18:41:04Z</dcterms:created>
  <dcterms:modified xsi:type="dcterms:W3CDTF">2026-05-13T13:54:08Z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0x01010062DF0B8C7DF9684393C43814AFC31026</vt:lpwstr>
  </property>
</Properties>
</file>